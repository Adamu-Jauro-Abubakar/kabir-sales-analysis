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kabir-sales-analysis\Excel_File\"/>
    </mc:Choice>
  </mc:AlternateContent>
  <xr:revisionPtr revIDLastSave="0" documentId="13_ncr:1_{2DC72B8A-BF29-4D08-83E5-50455558FC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N16" i="1"/>
  <c r="O17" i="1"/>
  <c r="O18" i="1"/>
  <c r="O19" i="1"/>
  <c r="O20" i="1"/>
  <c r="O16" i="1"/>
  <c r="N17" i="1"/>
  <c r="N18" i="1"/>
  <c r="N19" i="1"/>
  <c r="N20" i="1"/>
  <c r="J21" i="1"/>
  <c r="I21" i="1"/>
  <c r="J20" i="1"/>
  <c r="I20" i="1"/>
  <c r="J19" i="1"/>
  <c r="I19" i="1"/>
  <c r="J18" i="1"/>
  <c r="I18" i="1"/>
  <c r="J17" i="1"/>
  <c r="I17" i="1"/>
  <c r="J16" i="1"/>
  <c r="I16" i="1"/>
  <c r="P5" i="1"/>
  <c r="P6" i="1"/>
  <c r="P7" i="1"/>
  <c r="P8" i="1"/>
  <c r="P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T5" i="1" l="1"/>
  <c r="T6" i="1"/>
  <c r="T4" i="1"/>
  <c r="U18" i="1"/>
  <c r="S18" i="1"/>
  <c r="T19" i="1"/>
  <c r="S21" i="1"/>
  <c r="T18" i="1"/>
  <c r="S20" i="1"/>
  <c r="S19" i="1"/>
  <c r="T17" i="1"/>
  <c r="S17" i="1"/>
  <c r="U17" i="1"/>
  <c r="U21" i="1"/>
  <c r="T21" i="1"/>
  <c r="U20" i="1"/>
  <c r="T20" i="1"/>
  <c r="U19" i="1"/>
  <c r="I8" i="1"/>
  <c r="I7" i="1"/>
  <c r="K9" i="1"/>
  <c r="J5" i="1"/>
  <c r="I9" i="1"/>
  <c r="K5" i="1"/>
  <c r="I6" i="1"/>
  <c r="J9" i="1"/>
  <c r="K8" i="1"/>
  <c r="J8" i="1"/>
  <c r="K7" i="1"/>
  <c r="J7" i="1"/>
  <c r="K6" i="1"/>
  <c r="J6" i="1"/>
</calcChain>
</file>

<file path=xl/sharedStrings.xml><?xml version="1.0" encoding="utf-8"?>
<sst xmlns="http://schemas.openxmlformats.org/spreadsheetml/2006/main" count="73" uniqueCount="26">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</sst>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5" borderId="0" applyNumberFormat="0" applyBorder="0" applyAlignment="0" applyProtection="0"/>
  </cellStyleXfs>
  <cellXfs count="43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164" fontId="1" fillId="0" borderId="5" xfId="1" applyNumberFormat="1" applyFont="1" applyFill="1" applyBorder="1" applyAlignment="1"/>
    <xf numFmtId="0" fontId="9" fillId="5" borderId="0" xfId="2" applyFont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NumberFormat="1"/>
    <xf numFmtId="4" fontId="10" fillId="6" borderId="6" xfId="0" applyNumberFormat="1" applyFont="1" applyFill="1" applyBorder="1"/>
    <xf numFmtId="4" fontId="11" fillId="7" borderId="6" xfId="0" applyNumberFormat="1" applyFont="1" applyFill="1" applyBorder="1"/>
    <xf numFmtId="0" fontId="11" fillId="7" borderId="6" xfId="0" applyFont="1" applyFill="1" applyBorder="1"/>
    <xf numFmtId="0" fontId="11" fillId="7" borderId="1" xfId="0" applyFont="1" applyFill="1" applyBorder="1"/>
  </cellXfs>
  <cellStyles count="3">
    <cellStyle name="Comma" xfId="1" builtinId="3"/>
    <cellStyle name="Good" xfId="2" builtinId="26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topLeftCell="E1" zoomScaleNormal="100" workbookViewId="0">
      <selection activeCell="R8" sqref="R8"/>
    </sheetView>
  </sheetViews>
  <sheetFormatPr defaultRowHeight="14.5" x14ac:dyDescent="0.35"/>
  <cols>
    <col min="1" max="1" width="5" bestFit="1" customWidth="1"/>
    <col min="2" max="2" width="9.1796875" bestFit="1" customWidth="1"/>
    <col min="3" max="3" width="6.36328125" bestFit="1" customWidth="1"/>
    <col min="4" max="4" width="11.54296875" bestFit="1" customWidth="1"/>
    <col min="5" max="5" width="16.453125" bestFit="1" customWidth="1"/>
    <col min="6" max="6" width="9.81640625" bestFit="1" customWidth="1"/>
    <col min="8" max="8" width="10" bestFit="1" customWidth="1"/>
    <col min="9" max="9" width="8.1796875" bestFit="1" customWidth="1"/>
    <col min="10" max="10" width="9.81640625" bestFit="1" customWidth="1"/>
    <col min="11" max="11" width="4.81640625" bestFit="1" customWidth="1"/>
    <col min="12" max="12" width="6.1796875" bestFit="1" customWidth="1"/>
    <col min="13" max="13" width="9" bestFit="1" customWidth="1"/>
    <col min="14" max="14" width="8.26953125" bestFit="1" customWidth="1"/>
    <col min="15" max="15" width="9" bestFit="1" customWidth="1"/>
    <col min="16" max="16" width="8.1796875" bestFit="1" customWidth="1"/>
    <col min="18" max="18" width="8.6328125" bestFit="1" customWidth="1"/>
    <col min="19" max="19" width="5.08984375" bestFit="1" customWidth="1"/>
    <col min="20" max="20" width="13" bestFit="1" customWidth="1"/>
    <col min="21" max="21" width="5.08984375" bestFit="1" customWidth="1"/>
  </cols>
  <sheetData>
    <row r="1" spans="1:21" ht="25" x14ac:dyDescent="0.5">
      <c r="A1" s="34" t="s">
        <v>0</v>
      </c>
      <c r="B1" s="34"/>
      <c r="C1" s="34"/>
      <c r="D1" s="34"/>
      <c r="E1" s="34"/>
      <c r="F1" s="34"/>
      <c r="U1" s="38"/>
    </row>
    <row r="2" spans="1:21" ht="18" thickBo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4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8" t="s">
        <v>24</v>
      </c>
      <c r="J3" s="29"/>
      <c r="K3" s="30"/>
      <c r="N3" s="7"/>
      <c r="O3" s="8" t="s">
        <v>9</v>
      </c>
      <c r="P3" s="9" t="s">
        <v>10</v>
      </c>
      <c r="S3" s="27" t="s">
        <v>3</v>
      </c>
      <c r="T3" s="27" t="s">
        <v>25</v>
      </c>
    </row>
    <row r="4" spans="1:21" x14ac:dyDescent="0.3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1" t="s">
        <v>12</v>
      </c>
      <c r="O4" s="13" t="s">
        <v>13</v>
      </c>
      <c r="P4" s="14">
        <f>COUNTIF($D$3:$D$26,$O4)</f>
        <v>6</v>
      </c>
      <c r="S4">
        <v>2010</v>
      </c>
      <c r="T4">
        <f>SUMIF($C$3:$C$26,$S4,$E$3:$E$26)</f>
        <v>476</v>
      </c>
    </row>
    <row r="5" spans="1:21" x14ac:dyDescent="0.3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6">
        <f>COUNTIFS($D$3:$D$26,$H5,$C$3:$C$26,I$4)</f>
        <v>1</v>
      </c>
      <c r="J5" s="26">
        <f t="shared" ref="J5:K9" si="1">COUNTIFS($D$3:$D$26,$H5,$C$3:$C$26,J$4)</f>
        <v>2</v>
      </c>
      <c r="K5" s="26">
        <f t="shared" si="1"/>
        <v>3</v>
      </c>
      <c r="N5" s="32"/>
      <c r="O5" s="13" t="s">
        <v>7</v>
      </c>
      <c r="P5" s="14">
        <f t="shared" ref="P5:P8" si="2">COUNTIF($D$3:$D$26,$O5)</f>
        <v>3</v>
      </c>
      <c r="S5">
        <v>2011</v>
      </c>
      <c r="T5">
        <f t="shared" ref="T5:T6" si="3">SUMIF($C$3:$C$26,$S5,$E$3:$E$26)</f>
        <v>380</v>
      </c>
    </row>
    <row r="6" spans="1:2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6">
        <f t="shared" ref="I6:I9" si="4">COUNTIFS($D$3:$D$26,$H6,$C$3:$C$26,I$4)</f>
        <v>1</v>
      </c>
      <c r="J6" s="26">
        <f t="shared" si="1"/>
        <v>1</v>
      </c>
      <c r="K6" s="26">
        <f t="shared" si="1"/>
        <v>1</v>
      </c>
      <c r="N6" s="32"/>
      <c r="O6" s="13" t="s">
        <v>15</v>
      </c>
      <c r="P6" s="14">
        <f t="shared" si="2"/>
        <v>5</v>
      </c>
      <c r="S6">
        <v>2012</v>
      </c>
      <c r="T6">
        <f t="shared" si="3"/>
        <v>368</v>
      </c>
    </row>
    <row r="7" spans="1:21" x14ac:dyDescent="0.3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6">
        <f t="shared" si="4"/>
        <v>3</v>
      </c>
      <c r="J7" s="26">
        <f t="shared" si="1"/>
        <v>0</v>
      </c>
      <c r="K7" s="26">
        <f t="shared" si="1"/>
        <v>2</v>
      </c>
      <c r="N7" s="32"/>
      <c r="O7" s="13" t="s">
        <v>18</v>
      </c>
      <c r="P7" s="14">
        <f t="shared" si="2"/>
        <v>3</v>
      </c>
    </row>
    <row r="8" spans="1:21" ht="16" thickBot="1" x14ac:dyDescent="0.4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6">
        <f t="shared" si="4"/>
        <v>1</v>
      </c>
      <c r="J8" s="26">
        <f t="shared" si="1"/>
        <v>1</v>
      </c>
      <c r="K8" s="26">
        <f t="shared" si="1"/>
        <v>1</v>
      </c>
      <c r="N8" s="33"/>
      <c r="O8" s="17" t="s">
        <v>11</v>
      </c>
      <c r="P8" s="41">
        <f t="shared" si="2"/>
        <v>7</v>
      </c>
    </row>
    <row r="9" spans="1:21" ht="15" thickBot="1" x14ac:dyDescent="0.4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5" t="s">
        <v>11</v>
      </c>
      <c r="I9" s="26">
        <f t="shared" si="4"/>
        <v>3</v>
      </c>
      <c r="J9" s="26">
        <f t="shared" si="1"/>
        <v>2</v>
      </c>
      <c r="K9" s="26">
        <f t="shared" si="1"/>
        <v>2</v>
      </c>
    </row>
    <row r="10" spans="1:21" x14ac:dyDescent="0.3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4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4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5" t="s">
        <v>8</v>
      </c>
      <c r="I14" s="36"/>
      <c r="J14" s="37"/>
    </row>
    <row r="15" spans="1:21" ht="15" thickBot="1" x14ac:dyDescent="0.4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8" t="s">
        <v>22</v>
      </c>
      <c r="T15" s="29"/>
      <c r="U15" s="30"/>
    </row>
    <row r="16" spans="1:21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1" t="s">
        <v>23</v>
      </c>
      <c r="M16" s="13" t="s">
        <v>13</v>
      </c>
      <c r="N16" s="13">
        <f>SUMIF($D$3:D26,$M16,$E$3:$E$26)</f>
        <v>277</v>
      </c>
      <c r="O16" s="13">
        <f>SUMIF($D$3:$D$26,$M16,$F$3:$F$26)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ht="15.5" x14ac:dyDescent="0.3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39">
        <f>MIN(F3:F26)</f>
        <v>5280</v>
      </c>
      <c r="L17" s="32"/>
      <c r="M17" s="13" t="s">
        <v>7</v>
      </c>
      <c r="N17" s="13">
        <f ca="1">SUMIF($D$3:D27,$M17,$E$3:$E$26)</f>
        <v>140</v>
      </c>
      <c r="O17" s="13">
        <f t="shared" ref="O17:O20" si="5">SUMIF($D$3:$D$26,$M17,$F$3:$F$26)</f>
        <v>30800</v>
      </c>
      <c r="R17" s="24" t="s">
        <v>13</v>
      </c>
      <c r="S17" s="26">
        <f>SUMIFS($E$3:$E$26,$D$3:$D$26,$R17,$C$3:$C$26,S$16)</f>
        <v>56</v>
      </c>
      <c r="T17" s="26">
        <f t="shared" ref="T17:U21" si="6">SUMIFS($E$3:$E$26,$D$3:$D$26,$R17,$C$3:$C$26,T$16)</f>
        <v>105</v>
      </c>
      <c r="U17" s="26">
        <f t="shared" si="6"/>
        <v>116</v>
      </c>
    </row>
    <row r="18" spans="1:21" ht="15.5" x14ac:dyDescent="0.3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40">
        <f>MAX(F3:F26)</f>
        <v>20900</v>
      </c>
      <c r="L18" s="32"/>
      <c r="M18" s="13" t="s">
        <v>15</v>
      </c>
      <c r="N18" s="13">
        <f ca="1">SUMIF($D$3:D28,$M18,$E$3:$E$26)</f>
        <v>194</v>
      </c>
      <c r="O18" s="13">
        <f t="shared" si="5"/>
        <v>42680</v>
      </c>
      <c r="R18" s="24" t="s">
        <v>7</v>
      </c>
      <c r="S18" s="26">
        <f t="shared" ref="S18:S21" si="7">SUMIFS($E$3:$E$26,$D$3:$D$26,$R18,$C$3:$C$26,S$16)</f>
        <v>76</v>
      </c>
      <c r="T18" s="26">
        <f t="shared" si="6"/>
        <v>28</v>
      </c>
      <c r="U18" s="26">
        <f t="shared" si="6"/>
        <v>36</v>
      </c>
    </row>
    <row r="19" spans="1:21" x14ac:dyDescent="0.3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2"/>
      <c r="M19" s="13" t="s">
        <v>18</v>
      </c>
      <c r="N19" s="13">
        <f ca="1">SUMIF($D$3:D29,$M19,$E$3:$E$26)</f>
        <v>237</v>
      </c>
      <c r="O19" s="13">
        <f t="shared" si="5"/>
        <v>52140</v>
      </c>
      <c r="R19" s="24" t="s">
        <v>15</v>
      </c>
      <c r="S19" s="26">
        <f t="shared" si="7"/>
        <v>122</v>
      </c>
      <c r="T19" s="26">
        <f t="shared" si="6"/>
        <v>0</v>
      </c>
      <c r="U19" s="26">
        <f t="shared" si="6"/>
        <v>72</v>
      </c>
    </row>
    <row r="20" spans="1:21" ht="16" thickBot="1" x14ac:dyDescent="0.4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33"/>
      <c r="M20" s="17" t="s">
        <v>11</v>
      </c>
      <c r="N20" s="13">
        <f ca="1">SUMIF($D$3:D30,$M20,$E$3:$E$26)</f>
        <v>376</v>
      </c>
      <c r="O20" s="42">
        <f t="shared" si="5"/>
        <v>82720</v>
      </c>
      <c r="R20" s="24" t="s">
        <v>18</v>
      </c>
      <c r="S20" s="26">
        <f t="shared" si="7"/>
        <v>90</v>
      </c>
      <c r="T20" s="26">
        <f t="shared" si="6"/>
        <v>95</v>
      </c>
      <c r="U20" s="26">
        <f t="shared" si="6"/>
        <v>52</v>
      </c>
    </row>
    <row r="21" spans="1:21" ht="15" thickBot="1" x14ac:dyDescent="0.4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5" t="s">
        <v>11</v>
      </c>
      <c r="S21" s="26">
        <f t="shared" si="7"/>
        <v>132</v>
      </c>
      <c r="T21" s="26">
        <f t="shared" si="6"/>
        <v>152</v>
      </c>
      <c r="U21" s="26">
        <f t="shared" si="6"/>
        <v>92</v>
      </c>
    </row>
    <row r="22" spans="1:21" x14ac:dyDescent="0.3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3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3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S15:U15"/>
    <mergeCell ref="L16:L20"/>
    <mergeCell ref="I3:K3"/>
    <mergeCell ref="A1:F1"/>
    <mergeCell ref="H14:J14"/>
    <mergeCell ref="N4:N8"/>
  </mergeCells>
  <conditionalFormatting sqref="F3:F26">
    <cfRule type="cellIs" dxfId="3" priority="2" operator="lessThan">
      <formula>6000</formula>
    </cfRule>
    <cfRule type="cellIs" dxfId="2" priority="3" operator="greaterThan">
      <formula>15000</formula>
    </cfRule>
  </conditionalFormatting>
  <conditionalFormatting sqref="T4:T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Adamu Jauro Abubakar</cp:lastModifiedBy>
  <dcterms:created xsi:type="dcterms:W3CDTF">2024-05-08T21:08:42Z</dcterms:created>
  <dcterms:modified xsi:type="dcterms:W3CDTF">2026-05-05T20:23:45Z</dcterms:modified>
</cp:coreProperties>
</file>